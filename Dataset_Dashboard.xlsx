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jays\OneDrive\Desktop\Excel Sales Dashboard Project\"/>
    </mc:Choice>
  </mc:AlternateContent>
  <xr:revisionPtr revIDLastSave="0" documentId="13_ncr:1_{ADE1E468-18A2-47F4-8D7B-9B194F263B26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Sales_Data" sheetId="1" r:id="rId1"/>
    <sheet name="RegionWise_Sales" sheetId="2" r:id="rId2"/>
    <sheet name="ProductWise_Sales" sheetId="3" r:id="rId3"/>
    <sheet name="CategoryWise_Sales" sheetId="5" r:id="rId4"/>
    <sheet name="Sum_Total_Sales" sheetId="6" r:id="rId5"/>
    <sheet name="Dashboard" sheetId="7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7" l="1"/>
  <c r="B11" i="7"/>
  <c r="B8" i="7"/>
  <c r="B5" i="7"/>
</calcChain>
</file>

<file path=xl/sharedStrings.xml><?xml version="1.0" encoding="utf-8"?>
<sst xmlns="http://schemas.openxmlformats.org/spreadsheetml/2006/main" count="93" uniqueCount="43">
  <si>
    <t>Date</t>
  </si>
  <si>
    <t>Product</t>
  </si>
  <si>
    <t>Category</t>
  </si>
  <si>
    <t>Region</t>
  </si>
  <si>
    <t>Sales Person</t>
  </si>
  <si>
    <t>Quantity</t>
  </si>
  <si>
    <t>Unit Price</t>
  </si>
  <si>
    <t>Total Sales</t>
  </si>
  <si>
    <t>Laptop</t>
  </si>
  <si>
    <t>Electronics</t>
  </si>
  <si>
    <t>North</t>
  </si>
  <si>
    <t>Amit</t>
  </si>
  <si>
    <t>Mouse</t>
  </si>
  <si>
    <t>Accessories</t>
  </si>
  <si>
    <t>South</t>
  </si>
  <si>
    <t>Priya</t>
  </si>
  <si>
    <t>Keyboard</t>
  </si>
  <si>
    <t>East</t>
  </si>
  <si>
    <t>Rahul</t>
  </si>
  <si>
    <t>Monitor</t>
  </si>
  <si>
    <t>West</t>
  </si>
  <si>
    <t>Neha</t>
  </si>
  <si>
    <t>Printer</t>
  </si>
  <si>
    <t>Office</t>
  </si>
  <si>
    <t>Vivek</t>
  </si>
  <si>
    <t>Scanner</t>
  </si>
  <si>
    <t>Pooja</t>
  </si>
  <si>
    <t>Webcam</t>
  </si>
  <si>
    <t>Ankit</t>
  </si>
  <si>
    <t>Headphones</t>
  </si>
  <si>
    <t>Sonia</t>
  </si>
  <si>
    <t>Tablet</t>
  </si>
  <si>
    <t>Mohit</t>
  </si>
  <si>
    <t>SSD</t>
  </si>
  <si>
    <t>Storage</t>
  </si>
  <si>
    <t>Karan</t>
  </si>
  <si>
    <t>Row Labels</t>
  </si>
  <si>
    <t>Grand Total</t>
  </si>
  <si>
    <t>Sum of Total Sales</t>
  </si>
  <si>
    <t>Total Quantity</t>
  </si>
  <si>
    <t>Products</t>
  </si>
  <si>
    <t>Regions</t>
  </si>
  <si>
    <t>📊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</si>
</sst>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5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3" borderId="0" xfId="0" applyFont="1" applyFill="1"/>
  </cellXfs>
  <cellStyles count="1">
    <cellStyle name="Normal" xfId="0" builtinId="0"/>
  </cellStyles>
  <dxfs count="10"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[Dataset_Dashboard.xlsx]RegionWise_Sales!PivotTable1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RegionWise_Sales!$B$3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RegionWise_Sales!$A$4:$A$8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RegionWise_Sales!$B$4:$B$8</c:f>
              <c:numCache>
                <c:formatCode>General</c:formatCode>
                <c:ptCount val="4"/>
                <c:pt idx="0">
                  <c:v>47500</c:v>
                </c:pt>
                <c:pt idx="1">
                  <c:v>543000</c:v>
                </c:pt>
                <c:pt idx="2">
                  <c:v>154000</c:v>
                </c:pt>
                <c:pt idx="3">
                  <c:v>132000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D3-47B5-859C-0A5478ECB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735248"/>
        <c:axId val="946736688"/>
      </c:barChart>
      <c:catAx>
        <c:axId val="94673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36688"/>
        <c:crosses val="autoZero"/>
        <c:auto val="1"/>
        <c:lblAlgn val="ctr"/>
        <c:lblOffset val="100"/>
        <c:noMultiLvlLbl val="0"/>
      </c:catAx>
      <c:valAx>
        <c:axId val="94673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3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[Dataset_Dashboard.xlsx]ProductWise_Sales!PivotTable2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Product Wise Sales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ProductWise_Sales!$B$3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ProductWise_Sales!$A$4:$A$14</c:f>
              <c:strCache>
                <c:ptCount val="10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  <c:pt idx="6">
                  <c:v>Scanner</c:v>
                </c:pt>
                <c:pt idx="7">
                  <c:v>SSD</c:v>
                </c:pt>
                <c:pt idx="8">
                  <c:v>Tablet</c:v>
                </c:pt>
                <c:pt idx="9">
                  <c:v>Webcam</c:v>
                </c:pt>
              </c:strCache>
            </c:strRef>
          </c:cat>
          <c:val>
            <c:numRef>
              <c:f>ProductWise_Sales!$B$4:$B$14</c:f>
              <c:numCache>
                <c:formatCode>General</c:formatCode>
                <c:ptCount val="10"/>
                <c:pt idx="0">
                  <c:v>36000</c:v>
                </c:pt>
                <c:pt idx="1">
                  <c:v>22500</c:v>
                </c:pt>
                <c:pt idx="2">
                  <c:v>275000</c:v>
                </c:pt>
                <c:pt idx="3">
                  <c:v>96000</c:v>
                </c:pt>
                <c:pt idx="4">
                  <c:v>16000</c:v>
                </c:pt>
                <c:pt idx="5">
                  <c:v>72000</c:v>
                </c:pt>
                <c:pt idx="6">
                  <c:v>57000</c:v>
                </c:pt>
                <c:pt idx="7">
                  <c:v>81000</c:v>
                </c:pt>
                <c:pt idx="8">
                  <c:v>196000</c:v>
                </c:pt>
                <c:pt idx="9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DF-49CA-BCE7-ACFA47FB1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735248"/>
        <c:axId val="946736688"/>
      </c:barChart>
      <c:catAx>
        <c:axId val="94673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36688"/>
        <c:crosses val="autoZero"/>
        <c:auto val="1"/>
        <c:lblAlgn val="ctr"/>
        <c:lblOffset val="100"/>
        <c:noMultiLvlLbl val="0"/>
      </c:catAx>
      <c:valAx>
        <c:axId val="94673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35248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[Dataset_Dashboard.xlsx]CategoryWise_Sales!PivotTable4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Category Wise Sales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CategoryWise_Sales!$B$3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CategoryWise_Sales!$A$4:$A$8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  <c:pt idx="3">
                  <c:v>Storage</c:v>
                </c:pt>
              </c:strCache>
            </c:strRef>
          </c:cat>
          <c:val>
            <c:numRef>
              <c:f>CategoryWise_Sales!$B$4:$B$8</c:f>
              <c:numCache>
                <c:formatCode>General</c:formatCode>
                <c:ptCount val="4"/>
                <c:pt idx="0">
                  <c:v>99500</c:v>
                </c:pt>
                <c:pt idx="1">
                  <c:v>567000</c:v>
                </c:pt>
                <c:pt idx="2">
                  <c:v>129000</c:v>
                </c:pt>
                <c:pt idx="3">
                  <c:v>81000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F-4A13-B332-27BF17467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6193584"/>
        <c:axId val="1046194544"/>
      </c:barChart>
      <c:catAx>
        <c:axId val="104619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94544"/>
        <c:crosses val="autoZero"/>
        <c:auto val="1"/>
        <c:lblAlgn val="ctr"/>
        <c:lblOffset val="100"/>
        <c:noMultiLvlLbl val="0"/>
      </c:catAx>
      <c:valAx>
        <c:axId val="104619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9358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[Dataset_Dashboard.xlsx]Sum_Total_Sales!PivotTable5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Sum_Total_Sales!$B$3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Sum_Total_Sales!$A$4:$A$14</c:f>
              <c:strCache>
                <c:ptCount val="10"/>
                <c:pt idx="0">
                  <c:v>Amit</c:v>
                </c:pt>
                <c:pt idx="1">
                  <c:v>Ankit</c:v>
                </c:pt>
                <c:pt idx="2">
                  <c:v>Karan</c:v>
                </c:pt>
                <c:pt idx="3">
                  <c:v>Mohit</c:v>
                </c:pt>
                <c:pt idx="4">
                  <c:v>Neha</c:v>
                </c:pt>
                <c:pt idx="5">
                  <c:v>Pooja</c:v>
                </c:pt>
                <c:pt idx="6">
                  <c:v>Priya</c:v>
                </c:pt>
                <c:pt idx="7">
                  <c:v>Rahul</c:v>
                </c:pt>
                <c:pt idx="8">
                  <c:v>Sonia</c:v>
                </c:pt>
                <c:pt idx="9">
                  <c:v>Vivek</c:v>
                </c:pt>
              </c:strCache>
            </c:strRef>
          </c:cat>
          <c:val>
            <c:numRef>
              <c:f>Sum_Total_Sales!$B$4:$B$14</c:f>
              <c:numCache>
                <c:formatCode>General</c:formatCode>
                <c:ptCount val="10"/>
                <c:pt idx="0">
                  <c:v>275000</c:v>
                </c:pt>
                <c:pt idx="1">
                  <c:v>25000</c:v>
                </c:pt>
                <c:pt idx="2">
                  <c:v>81000</c:v>
                </c:pt>
                <c:pt idx="3">
                  <c:v>196000</c:v>
                </c:pt>
                <c:pt idx="4">
                  <c:v>96000</c:v>
                </c:pt>
                <c:pt idx="5">
                  <c:v>57000</c:v>
                </c:pt>
                <c:pt idx="6">
                  <c:v>16000</c:v>
                </c:pt>
                <c:pt idx="7">
                  <c:v>22500</c:v>
                </c:pt>
                <c:pt idx="8">
                  <c:v>36000</c:v>
                </c:pt>
                <c:pt idx="9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F-4E93-8B98-820E4EB4F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6197424"/>
        <c:axId val="1046200304"/>
      </c:barChart>
      <c:catAx>
        <c:axId val="1046197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200304"/>
        <c:crosses val="autoZero"/>
        <c:auto val="1"/>
        <c:lblAlgn val="ctr"/>
        <c:lblOffset val="100"/>
        <c:noMultiLvlLbl val="0"/>
      </c:catAx>
      <c:valAx>
        <c:axId val="104620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9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[Dataset_Dashboard.xlsx]RegionWise_Sales!PivotTable1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RegionWise_Sales!$B$3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RegionWise_Sales!$A$4:$A$8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RegionWise_Sales!$B$4:$B$8</c:f>
              <c:numCache>
                <c:formatCode>General</c:formatCode>
                <c:ptCount val="4"/>
                <c:pt idx="0">
                  <c:v>47500</c:v>
                </c:pt>
                <c:pt idx="1">
                  <c:v>543000</c:v>
                </c:pt>
                <c:pt idx="2">
                  <c:v>154000</c:v>
                </c:pt>
                <c:pt idx="3">
                  <c:v>132000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97-4C4C-A20F-636988119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735248"/>
        <c:axId val="946736688"/>
      </c:barChart>
      <c:catAx>
        <c:axId val="94673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36688"/>
        <c:crosses val="autoZero"/>
        <c:auto val="1"/>
        <c:lblAlgn val="ctr"/>
        <c:lblOffset val="100"/>
        <c:noMultiLvlLbl val="0"/>
      </c:catAx>
      <c:valAx>
        <c:axId val="946736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73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[Dataset_Dashboard.xlsx]ProductWise_Sales!PivotTable2</c:name>
    <c:fmtId val="26"/>
  </c:pivotSource>
  <c:chart>
    <c:title>
      <c:tx>
        <c:rich>
          <a:bodyPr rot="0" vert="horz"/>
          <a:lstStyle/>
          <a:p>
            <a:pPr>
              <a:defRPr sz="1400" b="1"/>
            </a:pPr>
            <a:r>
              <a:rPr lang="en-US" sz="1400" b="1"/>
              <a:t>Product Wise Sales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ProductWise_Sales!$B$3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ProductWise_Sales!$A$4:$A$14</c:f>
              <c:strCache>
                <c:ptCount val="10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Mouse</c:v>
                </c:pt>
                <c:pt idx="5">
                  <c:v>Printer</c:v>
                </c:pt>
                <c:pt idx="6">
                  <c:v>Scanner</c:v>
                </c:pt>
                <c:pt idx="7">
                  <c:v>SSD</c:v>
                </c:pt>
                <c:pt idx="8">
                  <c:v>Tablet</c:v>
                </c:pt>
                <c:pt idx="9">
                  <c:v>Webcam</c:v>
                </c:pt>
              </c:strCache>
            </c:strRef>
          </c:cat>
          <c:val>
            <c:numRef>
              <c:f>ProductWise_Sales!$B$4:$B$14</c:f>
              <c:numCache>
                <c:formatCode>General</c:formatCode>
                <c:ptCount val="10"/>
                <c:pt idx="0">
                  <c:v>36000</c:v>
                </c:pt>
                <c:pt idx="1">
                  <c:v>22500</c:v>
                </c:pt>
                <c:pt idx="2">
                  <c:v>275000</c:v>
                </c:pt>
                <c:pt idx="3">
                  <c:v>96000</c:v>
                </c:pt>
                <c:pt idx="4">
                  <c:v>16000</c:v>
                </c:pt>
                <c:pt idx="5">
                  <c:v>72000</c:v>
                </c:pt>
                <c:pt idx="6">
                  <c:v>57000</c:v>
                </c:pt>
                <c:pt idx="7">
                  <c:v>81000</c:v>
                </c:pt>
                <c:pt idx="8">
                  <c:v>196000</c:v>
                </c:pt>
                <c:pt idx="9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5-4D8B-9A38-E5D60C76F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735248"/>
        <c:axId val="946736688"/>
      </c:barChart>
      <c:catAx>
        <c:axId val="94673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946736688"/>
        <c:crosses val="autoZero"/>
        <c:auto val="1"/>
        <c:lblAlgn val="ctr"/>
        <c:lblOffset val="100"/>
        <c:noMultiLvlLbl val="0"/>
      </c:catAx>
      <c:valAx>
        <c:axId val="946736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946735248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>
      <a:noFill/>
    </a:ln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[Dataset_Dashboard.xlsx]CategoryWise_Sales!PivotTable4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Category Wise Sales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CategoryWise_Sales!$B$3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CategoryWise_Sales!$A$4:$A$8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Office</c:v>
                </c:pt>
                <c:pt idx="3">
                  <c:v>Storage</c:v>
                </c:pt>
              </c:strCache>
            </c:strRef>
          </c:cat>
          <c:val>
            <c:numRef>
              <c:f>CategoryWise_Sales!$B$4:$B$8</c:f>
              <c:numCache>
                <c:formatCode>General</c:formatCode>
                <c:ptCount val="4"/>
                <c:pt idx="0">
                  <c:v>99500</c:v>
                </c:pt>
                <c:pt idx="1">
                  <c:v>567000</c:v>
                </c:pt>
                <c:pt idx="2">
                  <c:v>129000</c:v>
                </c:pt>
                <c:pt idx="3">
                  <c:v>81000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4-4F27-8A48-8CAFAF547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6193584"/>
        <c:axId val="1046194544"/>
      </c:barChart>
      <c:catAx>
        <c:axId val="1046193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94544"/>
        <c:crosses val="autoZero"/>
        <c:auto val="1"/>
        <c:lblAlgn val="ctr"/>
        <c:lblOffset val="100"/>
        <c:noMultiLvlLbl val="0"/>
      </c:catAx>
      <c:valAx>
        <c:axId val="104619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9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[Dataset_Dashboard.xlsx]Sum_Total_Sales!PivotTable5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Person Performance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Sum_Total_Sales!$B$3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Sum_Total_Sales!$A$4:$A$14</c:f>
              <c:strCache>
                <c:ptCount val="10"/>
                <c:pt idx="0">
                  <c:v>Amit</c:v>
                </c:pt>
                <c:pt idx="1">
                  <c:v>Ankit</c:v>
                </c:pt>
                <c:pt idx="2">
                  <c:v>Karan</c:v>
                </c:pt>
                <c:pt idx="3">
                  <c:v>Mohit</c:v>
                </c:pt>
                <c:pt idx="4">
                  <c:v>Neha</c:v>
                </c:pt>
                <c:pt idx="5">
                  <c:v>Pooja</c:v>
                </c:pt>
                <c:pt idx="6">
                  <c:v>Priya</c:v>
                </c:pt>
                <c:pt idx="7">
                  <c:v>Rahul</c:v>
                </c:pt>
                <c:pt idx="8">
                  <c:v>Sonia</c:v>
                </c:pt>
                <c:pt idx="9">
                  <c:v>Vivek</c:v>
                </c:pt>
              </c:strCache>
            </c:strRef>
          </c:cat>
          <c:val>
            <c:numRef>
              <c:f>Sum_Total_Sales!$B$4:$B$14</c:f>
              <c:numCache>
                <c:formatCode>General</c:formatCode>
                <c:ptCount val="10"/>
                <c:pt idx="0">
                  <c:v>275000</c:v>
                </c:pt>
                <c:pt idx="1">
                  <c:v>25000</c:v>
                </c:pt>
                <c:pt idx="2">
                  <c:v>81000</c:v>
                </c:pt>
                <c:pt idx="3">
                  <c:v>196000</c:v>
                </c:pt>
                <c:pt idx="4">
                  <c:v>96000</c:v>
                </c:pt>
                <c:pt idx="5">
                  <c:v>57000</c:v>
                </c:pt>
                <c:pt idx="6">
                  <c:v>16000</c:v>
                </c:pt>
                <c:pt idx="7">
                  <c:v>22500</c:v>
                </c:pt>
                <c:pt idx="8">
                  <c:v>36000</c:v>
                </c:pt>
                <c:pt idx="9">
                  <c:v>72000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5-4D49-ABAD-A9EB6109E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6197424"/>
        <c:axId val="1046200304"/>
      </c:barChart>
      <c:catAx>
        <c:axId val="1046197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200304"/>
        <c:crosses val="autoZero"/>
        <c:auto val="1"/>
        <c:lblAlgn val="ctr"/>
        <c:lblOffset val="100"/>
        <c:noMultiLvlLbl val="0"/>
      </c:catAx>
      <c:valAx>
        <c:axId val="104620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9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2</xdr:row>
      <xdr:rowOff>3810</xdr:rowOff>
    </xdr:from>
    <xdr:to>
      <xdr:col>10</xdr:col>
      <xdr:colOff>160020</xdr:colOff>
      <xdr:row>17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27953C-A52E-B173-80AA-DD0C1C2F6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11430</xdr:rowOff>
    </xdr:from>
    <xdr:to>
      <xdr:col>10</xdr:col>
      <xdr:colOff>304800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B5759D-9528-5C7A-EB4A-DCC114C9E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1</xdr:row>
      <xdr:rowOff>140970</xdr:rowOff>
    </xdr:from>
    <xdr:to>
      <xdr:col>10</xdr:col>
      <xdr:colOff>480060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A7DA8C-CB73-A098-08FA-B7EAC2734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3810</xdr:rowOff>
    </xdr:from>
    <xdr:to>
      <xdr:col>10</xdr:col>
      <xdr:colOff>297180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04D3-3CBC-863A-EDFA-2D61C6C0D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13335</xdr:rowOff>
    </xdr:from>
    <xdr:to>
      <xdr:col>7</xdr:col>
      <xdr:colOff>1193850</xdr:colOff>
      <xdr:row>16</xdr:row>
      <xdr:rowOff>117660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508208-73BA-4031-A94E-05521F386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1181100</xdr:colOff>
      <xdr:row>3</xdr:row>
      <xdr:rowOff>13335</xdr:rowOff>
    </xdr:from>
    <xdr:to>
      <xdr:col>14</xdr:col>
      <xdr:colOff>517575</xdr:colOff>
      <xdr:row>16</xdr:row>
      <xdr:rowOff>117660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B3940B-C19E-44B7-9B12-28032803A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16</xdr:row>
      <xdr:rowOff>118110</xdr:rowOff>
    </xdr:from>
    <xdr:to>
      <xdr:col>7</xdr:col>
      <xdr:colOff>1193850</xdr:colOff>
      <xdr:row>36</xdr:row>
      <xdr:rowOff>98610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9F9B25-3F47-498C-83A7-F9D1AD196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1196340</xdr:colOff>
      <xdr:row>16</xdr:row>
      <xdr:rowOff>112395</xdr:rowOff>
    </xdr:from>
    <xdr:to>
      <xdr:col>14</xdr:col>
      <xdr:colOff>532815</xdr:colOff>
      <xdr:row>36</xdr:row>
      <xdr:rowOff>92895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9A2FE2-6E86-45D7-A18B-63537FCA4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aysharma0859" refreshedDate="46232.62529236111" createdVersion="8" refreshedVersion="8" minRefreshableVersion="3" recordCount="10" xr:uid="{941707DE-4719-4DE4-A54E-3B83810D7026}">
  <cacheSource type="worksheet">
    <worksheetSource name="Table1"/>
  </cacheSource>
  <cacheFields count="8">
    <cacheField name="Date" numFmtId="15">
      <sharedItems containsSemiMixedTypes="0" containsNonDate="0" containsDate="1" containsString="0" minDate="2026-01-01T00:00:00" maxDate="2026-01-11T00:00:00"/>
    </cacheField>
    <cacheField name="Product" numFmtId="0">
      <sharedItems count="10">
        <s v="Laptop"/>
        <s v="Mouse"/>
        <s v="Keyboard"/>
        <s v="Monitor"/>
        <s v="Printer"/>
        <s v="Scanner"/>
        <s v="Webcam"/>
        <s v="Headphones"/>
        <s v="Tablet"/>
        <s v="SSD"/>
      </sharedItems>
    </cacheField>
    <cacheField name="Category" numFmtId="0">
      <sharedItems count="4">
        <s v="Electronics"/>
        <s v="Accessories"/>
        <s v="Office"/>
        <s v="Storage"/>
      </sharedItems>
    </cacheField>
    <cacheField name="Region" numFmtId="0">
      <sharedItems count="4">
        <s v="North"/>
        <s v="South"/>
        <s v="East"/>
        <s v="West"/>
      </sharedItems>
    </cacheField>
    <cacheField name="Sales Person" numFmtId="0">
      <sharedItems count="10">
        <s v="Amit"/>
        <s v="Priya"/>
        <s v="Rahul"/>
        <s v="Neha"/>
        <s v="Vivek"/>
        <s v="Pooja"/>
        <s v="Ankit"/>
        <s v="Sonia"/>
        <s v="Mohit"/>
        <s v="Karan"/>
      </sharedItems>
    </cacheField>
    <cacheField name="Quantity" numFmtId="0">
      <sharedItems containsSemiMixedTypes="0" containsString="0" containsNumber="1" containsInteger="1" minValue="4" maxValue="20"/>
    </cacheField>
    <cacheField name="Unit Price" numFmtId="0">
      <sharedItems containsSemiMixedTypes="0" containsString="0" containsNumber="1" containsInteger="1" minValue="800" maxValue="55000"/>
    </cacheField>
    <cacheField name="Total Sales" numFmtId="0">
      <sharedItems containsSemiMixedTypes="0" containsString="0" containsNumber="1" containsInteger="1" minValue="16000" maxValue="2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6-01-01T00:00:00"/>
    <x v="0"/>
    <x v="0"/>
    <x v="0"/>
    <x v="0"/>
    <n v="5"/>
    <n v="55000"/>
    <n v="275000"/>
  </r>
  <r>
    <d v="2026-01-02T00:00:00"/>
    <x v="1"/>
    <x v="1"/>
    <x v="1"/>
    <x v="1"/>
    <n v="20"/>
    <n v="800"/>
    <n v="16000"/>
  </r>
  <r>
    <d v="2026-01-03T00:00:00"/>
    <x v="2"/>
    <x v="1"/>
    <x v="2"/>
    <x v="2"/>
    <n v="15"/>
    <n v="1500"/>
    <n v="22500"/>
  </r>
  <r>
    <d v="2026-01-04T00:00:00"/>
    <x v="3"/>
    <x v="0"/>
    <x v="3"/>
    <x v="3"/>
    <n v="8"/>
    <n v="12000"/>
    <n v="96000"/>
  </r>
  <r>
    <d v="2026-01-05T00:00:00"/>
    <x v="4"/>
    <x v="2"/>
    <x v="0"/>
    <x v="4"/>
    <n v="4"/>
    <n v="18000"/>
    <n v="72000"/>
  </r>
  <r>
    <d v="2026-01-06T00:00:00"/>
    <x v="5"/>
    <x v="2"/>
    <x v="1"/>
    <x v="5"/>
    <n v="6"/>
    <n v="9500"/>
    <n v="57000"/>
  </r>
  <r>
    <d v="2026-01-07T00:00:00"/>
    <x v="6"/>
    <x v="1"/>
    <x v="2"/>
    <x v="6"/>
    <n v="10"/>
    <n v="2500"/>
    <n v="25000"/>
  </r>
  <r>
    <d v="2026-01-08T00:00:00"/>
    <x v="7"/>
    <x v="1"/>
    <x v="3"/>
    <x v="7"/>
    <n v="12"/>
    <n v="3000"/>
    <n v="36000"/>
  </r>
  <r>
    <d v="2026-01-09T00:00:00"/>
    <x v="8"/>
    <x v="0"/>
    <x v="0"/>
    <x v="8"/>
    <n v="7"/>
    <n v="28000"/>
    <n v="196000"/>
  </r>
  <r>
    <d v="2026-01-10T00:00:00"/>
    <x v="9"/>
    <x v="3"/>
    <x v="1"/>
    <x v="9"/>
    <n v="18"/>
    <n v="4500"/>
    <n v="8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AFC33-8654-4F89-84F9-2777AFEB0E7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8" firstHeaderRow="1" firstDataRow="1" firstDataCol="1"/>
  <pivotFields count="8">
    <pivotField numFmtId="15" showAll="0"/>
    <pivotField showAll="0">
      <items count="11">
        <item x="7"/>
        <item x="2"/>
        <item x="0"/>
        <item x="3"/>
        <item x="1"/>
        <item x="4"/>
        <item x="5"/>
        <item x="9"/>
        <item x="8"/>
        <item x="6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B2FC3-ED3D-4933-8C6E-66579E980B4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B14" firstHeaderRow="1" firstDataRow="1" firstDataCol="1"/>
  <pivotFields count="8">
    <pivotField numFmtId="15" showAll="0"/>
    <pivotField axis="axisRow" showAll="0">
      <items count="11">
        <item x="7"/>
        <item x="2"/>
        <item x="0"/>
        <item x="3"/>
        <item x="1"/>
        <item x="4"/>
        <item x="5"/>
        <item x="9"/>
        <item x="8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" fld="7" baseField="0" baseItem="0"/>
  </dataFields>
  <chartFormats count="2"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21B3C-C98C-43B5-A6E8-0E248D8135A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8">
    <pivotField numFmtId="15"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7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85CD2-632D-4BFE-8EBA-2BD11657C62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4" firstHeaderRow="1" firstDataRow="1" firstDataCol="1"/>
  <pivotFields count="8">
    <pivotField numFmtId="15" showAll="0"/>
    <pivotField showAll="0"/>
    <pivotField showAll="0"/>
    <pivotField showAll="0"/>
    <pivotField axis="axisRow" showAll="0">
      <items count="11">
        <item x="0"/>
        <item x="6"/>
        <item x="9"/>
        <item x="8"/>
        <item x="3"/>
        <item x="5"/>
        <item x="1"/>
        <item x="2"/>
        <item x="7"/>
        <item x="4"/>
        <item t="default"/>
      </items>
    </pivotField>
    <pivotField showAll="0"/>
    <pivotField showAll="0"/>
    <pivotField dataField="1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" fld="7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2B9969-1E73-47A2-9BAE-C4CDEFF41EF7}" name="Table1" displayName="Table1" ref="A1:H11" totalsRowShown="0" headerRowDxfId="9" dataDxfId="8">
  <autoFilter ref="A1:H11" xr:uid="{242B9969-1E73-47A2-9BAE-C4CDEFF41EF7}"/>
  <tableColumns count="8">
    <tableColumn id="1" xr3:uid="{14F074F3-5F10-4270-BA51-967E7FC9286A}" name="Date" dataDxfId="7"/>
    <tableColumn id="2" xr3:uid="{2205ED80-3B11-43B4-BDA4-D13A5C0F6E01}" name="Product" dataDxfId="6"/>
    <tableColumn id="3" xr3:uid="{F96B2737-A7DA-4458-BBC8-6435A18E3A7F}" name="Category" dataDxfId="5"/>
    <tableColumn id="4" xr3:uid="{00BAB805-1F3D-4664-B48F-2815C94EB28E}" name="Region" dataDxfId="4"/>
    <tableColumn id="5" xr3:uid="{5E5B9E99-9FB9-4A31-A39C-4FAD66E902A9}" name="Sales Person" dataDxfId="3"/>
    <tableColumn id="6" xr3:uid="{F62CE4C2-23FA-4042-AD9A-C6F9122D491E}" name="Quantity" dataDxfId="2"/>
    <tableColumn id="7" xr3:uid="{EBEA7FDD-6EF1-4EEC-A44A-3864B4D9CE24}" name="Unit Price" dataDxfId="1"/>
    <tableColumn id="8" xr3:uid="{884ECBD3-45B1-4E6A-A379-4D147861E837}" name="Total 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F28" sqref="F28"/>
    </sheetView>
  </sheetViews>
  <sheetFormatPr defaultRowHeight="14.4" x14ac:dyDescent="0.3"/>
  <cols>
    <col min="1" max="1" width="17.21875" customWidth="1"/>
    <col min="2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5">
        <v>46023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5</v>
      </c>
      <c r="G2" s="3">
        <v>55000</v>
      </c>
      <c r="H2" s="3">
        <v>275000</v>
      </c>
    </row>
    <row r="3" spans="1:8" x14ac:dyDescent="0.3">
      <c r="A3" s="5">
        <v>46024</v>
      </c>
      <c r="B3" s="2" t="s">
        <v>12</v>
      </c>
      <c r="C3" s="2" t="s">
        <v>13</v>
      </c>
      <c r="D3" s="2" t="s">
        <v>14</v>
      </c>
      <c r="E3" s="2" t="s">
        <v>15</v>
      </c>
      <c r="F3" s="3">
        <v>20</v>
      </c>
      <c r="G3" s="3">
        <v>800</v>
      </c>
      <c r="H3" s="3">
        <v>16000</v>
      </c>
    </row>
    <row r="4" spans="1:8" x14ac:dyDescent="0.3">
      <c r="A4" s="5">
        <v>46025</v>
      </c>
      <c r="B4" s="2" t="s">
        <v>16</v>
      </c>
      <c r="C4" s="2" t="s">
        <v>13</v>
      </c>
      <c r="D4" s="2" t="s">
        <v>17</v>
      </c>
      <c r="E4" s="2" t="s">
        <v>18</v>
      </c>
      <c r="F4" s="3">
        <v>15</v>
      </c>
      <c r="G4" s="3">
        <v>1500</v>
      </c>
      <c r="H4" s="3">
        <v>22500</v>
      </c>
    </row>
    <row r="5" spans="1:8" x14ac:dyDescent="0.3">
      <c r="A5" s="5">
        <v>46026</v>
      </c>
      <c r="B5" s="2" t="s">
        <v>19</v>
      </c>
      <c r="C5" s="2" t="s">
        <v>9</v>
      </c>
      <c r="D5" s="2" t="s">
        <v>20</v>
      </c>
      <c r="E5" s="2" t="s">
        <v>21</v>
      </c>
      <c r="F5" s="3">
        <v>8</v>
      </c>
      <c r="G5" s="3">
        <v>12000</v>
      </c>
      <c r="H5" s="3">
        <v>96000</v>
      </c>
    </row>
    <row r="6" spans="1:8" x14ac:dyDescent="0.3">
      <c r="A6" s="5">
        <v>46027</v>
      </c>
      <c r="B6" s="2" t="s">
        <v>22</v>
      </c>
      <c r="C6" s="2" t="s">
        <v>23</v>
      </c>
      <c r="D6" s="2" t="s">
        <v>10</v>
      </c>
      <c r="E6" s="2" t="s">
        <v>24</v>
      </c>
      <c r="F6" s="3">
        <v>4</v>
      </c>
      <c r="G6" s="3">
        <v>18000</v>
      </c>
      <c r="H6" s="3">
        <v>72000</v>
      </c>
    </row>
    <row r="7" spans="1:8" x14ac:dyDescent="0.3">
      <c r="A7" s="5">
        <v>46028</v>
      </c>
      <c r="B7" s="2" t="s">
        <v>25</v>
      </c>
      <c r="C7" s="2" t="s">
        <v>23</v>
      </c>
      <c r="D7" s="2" t="s">
        <v>14</v>
      </c>
      <c r="E7" s="2" t="s">
        <v>26</v>
      </c>
      <c r="F7" s="3">
        <v>6</v>
      </c>
      <c r="G7" s="3">
        <v>9500</v>
      </c>
      <c r="H7" s="3">
        <v>57000</v>
      </c>
    </row>
    <row r="8" spans="1:8" x14ac:dyDescent="0.3">
      <c r="A8" s="5">
        <v>46029</v>
      </c>
      <c r="B8" s="2" t="s">
        <v>27</v>
      </c>
      <c r="C8" s="2" t="s">
        <v>13</v>
      </c>
      <c r="D8" s="2" t="s">
        <v>17</v>
      </c>
      <c r="E8" s="2" t="s">
        <v>28</v>
      </c>
      <c r="F8" s="3">
        <v>10</v>
      </c>
      <c r="G8" s="3">
        <v>2500</v>
      </c>
      <c r="H8" s="3">
        <v>25000</v>
      </c>
    </row>
    <row r="9" spans="1:8" x14ac:dyDescent="0.3">
      <c r="A9" s="5">
        <v>46030</v>
      </c>
      <c r="B9" s="2" t="s">
        <v>29</v>
      </c>
      <c r="C9" s="2" t="s">
        <v>13</v>
      </c>
      <c r="D9" s="2" t="s">
        <v>20</v>
      </c>
      <c r="E9" s="2" t="s">
        <v>30</v>
      </c>
      <c r="F9" s="3">
        <v>12</v>
      </c>
      <c r="G9" s="3">
        <v>3000</v>
      </c>
      <c r="H9" s="3">
        <v>36000</v>
      </c>
    </row>
    <row r="10" spans="1:8" x14ac:dyDescent="0.3">
      <c r="A10" s="5">
        <v>46031</v>
      </c>
      <c r="B10" s="2" t="s">
        <v>31</v>
      </c>
      <c r="C10" s="2" t="s">
        <v>9</v>
      </c>
      <c r="D10" s="2" t="s">
        <v>10</v>
      </c>
      <c r="E10" s="2" t="s">
        <v>32</v>
      </c>
      <c r="F10" s="3">
        <v>7</v>
      </c>
      <c r="G10" s="3">
        <v>28000</v>
      </c>
      <c r="H10" s="3">
        <v>196000</v>
      </c>
    </row>
    <row r="11" spans="1:8" x14ac:dyDescent="0.3">
      <c r="A11" s="5">
        <v>46032</v>
      </c>
      <c r="B11" s="2" t="s">
        <v>33</v>
      </c>
      <c r="C11" s="2" t="s">
        <v>34</v>
      </c>
      <c r="D11" s="2" t="s">
        <v>14</v>
      </c>
      <c r="E11" s="2" t="s">
        <v>35</v>
      </c>
      <c r="F11" s="3">
        <v>18</v>
      </c>
      <c r="G11" s="3">
        <v>4500</v>
      </c>
      <c r="H11" s="3">
        <v>81000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C60A-AA1A-49E0-9DFD-C07C468A2603}">
  <dimension ref="A3:B8"/>
  <sheetViews>
    <sheetView workbookViewId="0">
      <selection activeCell="F25" sqref="F25"/>
    </sheetView>
  </sheetViews>
  <sheetFormatPr defaultRowHeight="14.4" x14ac:dyDescent="0.3"/>
  <cols>
    <col min="1" max="2" width="17.5546875" customWidth="1"/>
  </cols>
  <sheetData>
    <row r="3" spans="1:2" ht="21.6" customHeight="1" x14ac:dyDescent="0.3">
      <c r="A3" s="6" t="s">
        <v>36</v>
      </c>
      <c r="B3" t="s">
        <v>38</v>
      </c>
    </row>
    <row r="4" spans="1:2" ht="21.6" customHeight="1" x14ac:dyDescent="0.3">
      <c r="A4" s="7" t="s">
        <v>17</v>
      </c>
      <c r="B4">
        <v>47500</v>
      </c>
    </row>
    <row r="5" spans="1:2" ht="21.6" customHeight="1" x14ac:dyDescent="0.3">
      <c r="A5" s="7" t="s">
        <v>10</v>
      </c>
      <c r="B5">
        <v>543000</v>
      </c>
    </row>
    <row r="6" spans="1:2" ht="21.6" customHeight="1" x14ac:dyDescent="0.3">
      <c r="A6" s="7" t="s">
        <v>14</v>
      </c>
      <c r="B6">
        <v>154000</v>
      </c>
    </row>
    <row r="7" spans="1:2" ht="21.6" customHeight="1" x14ac:dyDescent="0.3">
      <c r="A7" s="7" t="s">
        <v>20</v>
      </c>
      <c r="B7">
        <v>132000</v>
      </c>
    </row>
    <row r="8" spans="1:2" ht="21.6" customHeight="1" x14ac:dyDescent="0.3">
      <c r="A8" s="7" t="s">
        <v>37</v>
      </c>
      <c r="B8">
        <v>876500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6981-D133-4320-A1DA-2DED7AD3D009}">
  <dimension ref="A3:B14"/>
  <sheetViews>
    <sheetView workbookViewId="0">
      <selection activeCell="I25" sqref="I25"/>
    </sheetView>
  </sheetViews>
  <sheetFormatPr defaultRowHeight="14.4" x14ac:dyDescent="0.3"/>
  <cols>
    <col min="1" max="1" width="15.21875" customWidth="1"/>
    <col min="2" max="2" width="19.44140625" customWidth="1"/>
  </cols>
  <sheetData>
    <row r="3" spans="1:2" x14ac:dyDescent="0.3">
      <c r="A3" s="6" t="s">
        <v>36</v>
      </c>
      <c r="B3" t="s">
        <v>38</v>
      </c>
    </row>
    <row r="4" spans="1:2" x14ac:dyDescent="0.3">
      <c r="A4" s="7" t="s">
        <v>29</v>
      </c>
      <c r="B4">
        <v>36000</v>
      </c>
    </row>
    <row r="5" spans="1:2" x14ac:dyDescent="0.3">
      <c r="A5" s="7" t="s">
        <v>16</v>
      </c>
      <c r="B5">
        <v>22500</v>
      </c>
    </row>
    <row r="6" spans="1:2" x14ac:dyDescent="0.3">
      <c r="A6" s="7" t="s">
        <v>8</v>
      </c>
      <c r="B6">
        <v>275000</v>
      </c>
    </row>
    <row r="7" spans="1:2" ht="17.399999999999999" customHeight="1" x14ac:dyDescent="0.3">
      <c r="A7" s="7" t="s">
        <v>19</v>
      </c>
      <c r="B7">
        <v>96000</v>
      </c>
    </row>
    <row r="8" spans="1:2" x14ac:dyDescent="0.3">
      <c r="A8" s="7" t="s">
        <v>12</v>
      </c>
      <c r="B8">
        <v>16000</v>
      </c>
    </row>
    <row r="9" spans="1:2" x14ac:dyDescent="0.3">
      <c r="A9" s="7" t="s">
        <v>22</v>
      </c>
      <c r="B9">
        <v>72000</v>
      </c>
    </row>
    <row r="10" spans="1:2" x14ac:dyDescent="0.3">
      <c r="A10" s="7" t="s">
        <v>25</v>
      </c>
      <c r="B10">
        <v>57000</v>
      </c>
    </row>
    <row r="11" spans="1:2" x14ac:dyDescent="0.3">
      <c r="A11" s="7" t="s">
        <v>33</v>
      </c>
      <c r="B11">
        <v>81000</v>
      </c>
    </row>
    <row r="12" spans="1:2" x14ac:dyDescent="0.3">
      <c r="A12" s="7" t="s">
        <v>31</v>
      </c>
      <c r="B12">
        <v>196000</v>
      </c>
    </row>
    <row r="13" spans="1:2" x14ac:dyDescent="0.3">
      <c r="A13" s="7" t="s">
        <v>27</v>
      </c>
      <c r="B13">
        <v>25000</v>
      </c>
    </row>
    <row r="14" spans="1:2" ht="31.8" customHeight="1" x14ac:dyDescent="0.3">
      <c r="A14" s="7" t="s">
        <v>37</v>
      </c>
      <c r="B14">
        <v>876500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189EE-CB55-4240-B2A8-33732E9AACC1}">
  <dimension ref="A3:B8"/>
  <sheetViews>
    <sheetView workbookViewId="0">
      <selection activeCell="P10" sqref="P10"/>
    </sheetView>
  </sheetViews>
  <sheetFormatPr defaultRowHeight="14.4" x14ac:dyDescent="0.3"/>
  <cols>
    <col min="1" max="1" width="14.44140625" customWidth="1"/>
    <col min="2" max="2" width="18.77734375" customWidth="1"/>
  </cols>
  <sheetData>
    <row r="3" spans="1:2" ht="29.4" customHeight="1" x14ac:dyDescent="0.3">
      <c r="A3" s="6" t="s">
        <v>36</v>
      </c>
      <c r="B3" t="s">
        <v>38</v>
      </c>
    </row>
    <row r="4" spans="1:2" ht="29.4" customHeight="1" x14ac:dyDescent="0.3">
      <c r="A4" s="7" t="s">
        <v>13</v>
      </c>
      <c r="B4">
        <v>99500</v>
      </c>
    </row>
    <row r="5" spans="1:2" ht="29.4" customHeight="1" x14ac:dyDescent="0.3">
      <c r="A5" s="7" t="s">
        <v>9</v>
      </c>
      <c r="B5">
        <v>567000</v>
      </c>
    </row>
    <row r="6" spans="1:2" ht="29.4" customHeight="1" x14ac:dyDescent="0.3">
      <c r="A6" s="7" t="s">
        <v>23</v>
      </c>
      <c r="B6">
        <v>129000</v>
      </c>
    </row>
    <row r="7" spans="1:2" ht="29.4" customHeight="1" x14ac:dyDescent="0.3">
      <c r="A7" s="7" t="s">
        <v>34</v>
      </c>
      <c r="B7">
        <v>81000</v>
      </c>
    </row>
    <row r="8" spans="1:2" ht="29.4" customHeight="1" x14ac:dyDescent="0.3">
      <c r="A8" s="7" t="s">
        <v>37</v>
      </c>
      <c r="B8">
        <v>876500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902A-F707-44FF-B1B7-A896E1275BC3}">
  <dimension ref="A3:B14"/>
  <sheetViews>
    <sheetView workbookViewId="0">
      <selection activeCell="N22" sqref="N22"/>
    </sheetView>
  </sheetViews>
  <sheetFormatPr defaultRowHeight="14.4" x14ac:dyDescent="0.3"/>
  <cols>
    <col min="1" max="1" width="16" customWidth="1"/>
    <col min="2" max="2" width="19.5546875" customWidth="1"/>
  </cols>
  <sheetData>
    <row r="3" spans="1:2" x14ac:dyDescent="0.3">
      <c r="A3" s="6" t="s">
        <v>36</v>
      </c>
      <c r="B3" t="s">
        <v>38</v>
      </c>
    </row>
    <row r="4" spans="1:2" x14ac:dyDescent="0.3">
      <c r="A4" s="7" t="s">
        <v>11</v>
      </c>
      <c r="B4">
        <v>275000</v>
      </c>
    </row>
    <row r="5" spans="1:2" x14ac:dyDescent="0.3">
      <c r="A5" s="7" t="s">
        <v>28</v>
      </c>
      <c r="B5">
        <v>25000</v>
      </c>
    </row>
    <row r="6" spans="1:2" x14ac:dyDescent="0.3">
      <c r="A6" s="7" t="s">
        <v>35</v>
      </c>
      <c r="B6">
        <v>81000</v>
      </c>
    </row>
    <row r="7" spans="1:2" x14ac:dyDescent="0.3">
      <c r="A7" s="7" t="s">
        <v>32</v>
      </c>
      <c r="B7">
        <v>196000</v>
      </c>
    </row>
    <row r="8" spans="1:2" x14ac:dyDescent="0.3">
      <c r="A8" s="7" t="s">
        <v>21</v>
      </c>
      <c r="B8">
        <v>96000</v>
      </c>
    </row>
    <row r="9" spans="1:2" x14ac:dyDescent="0.3">
      <c r="A9" s="7" t="s">
        <v>26</v>
      </c>
      <c r="B9">
        <v>57000</v>
      </c>
    </row>
    <row r="10" spans="1:2" x14ac:dyDescent="0.3">
      <c r="A10" s="7" t="s">
        <v>15</v>
      </c>
      <c r="B10">
        <v>16000</v>
      </c>
    </row>
    <row r="11" spans="1:2" x14ac:dyDescent="0.3">
      <c r="A11" s="7" t="s">
        <v>18</v>
      </c>
      <c r="B11">
        <v>22500</v>
      </c>
    </row>
    <row r="12" spans="1:2" x14ac:dyDescent="0.3">
      <c r="A12" s="7" t="s">
        <v>30</v>
      </c>
      <c r="B12">
        <v>36000</v>
      </c>
    </row>
    <row r="13" spans="1:2" x14ac:dyDescent="0.3">
      <c r="A13" s="7" t="s">
        <v>24</v>
      </c>
      <c r="B13">
        <v>72000</v>
      </c>
    </row>
    <row r="14" spans="1:2" x14ac:dyDescent="0.3">
      <c r="A14" s="7" t="s">
        <v>37</v>
      </c>
      <c r="B14">
        <v>876500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CC8F-8811-4701-946F-BACFA793C911}">
  <dimension ref="A1:K14"/>
  <sheetViews>
    <sheetView showGridLines="0" tabSelected="1" zoomScale="70" zoomScaleNormal="70" workbookViewId="0">
      <selection activeCell="Q20" sqref="Q20"/>
    </sheetView>
  </sheetViews>
  <sheetFormatPr defaultRowHeight="14.4" x14ac:dyDescent="0.3"/>
  <cols>
    <col min="1" max="1" width="18.88671875" customWidth="1"/>
    <col min="2" max="2" width="24" customWidth="1"/>
    <col min="3" max="3" width="14.6640625" customWidth="1"/>
    <col min="4" max="4" width="9.109375" customWidth="1"/>
    <col min="5" max="5" width="23.88671875" customWidth="1"/>
    <col min="8" max="8" width="17.5546875" customWidth="1"/>
    <col min="11" max="11" width="16" customWidth="1"/>
  </cols>
  <sheetData>
    <row r="1" spans="1:11" ht="31.2" x14ac:dyDescent="0.6">
      <c r="A1" s="10"/>
      <c r="B1" s="10" t="s">
        <v>42</v>
      </c>
      <c r="C1" s="10"/>
      <c r="D1" s="10"/>
      <c r="E1" s="10"/>
      <c r="F1" s="10"/>
      <c r="G1" s="10"/>
      <c r="H1" s="10"/>
      <c r="I1" s="10"/>
      <c r="J1" s="10"/>
      <c r="K1" s="10"/>
    </row>
    <row r="4" spans="1:11" ht="25.8" x14ac:dyDescent="0.5">
      <c r="B4" s="8" t="s">
        <v>7</v>
      </c>
    </row>
    <row r="5" spans="1:11" ht="25.8" x14ac:dyDescent="0.5">
      <c r="B5" s="9">
        <f>SUM(Table1[Total Sales])</f>
        <v>876500</v>
      </c>
    </row>
    <row r="7" spans="1:11" ht="25.8" x14ac:dyDescent="0.5">
      <c r="B7" s="8" t="s">
        <v>39</v>
      </c>
    </row>
    <row r="8" spans="1:11" ht="25.8" x14ac:dyDescent="0.5">
      <c r="B8" s="9">
        <f>SUM(Table1[Quantity])</f>
        <v>105</v>
      </c>
    </row>
    <row r="10" spans="1:11" ht="25.8" x14ac:dyDescent="0.5">
      <c r="B10" s="8" t="s">
        <v>40</v>
      </c>
    </row>
    <row r="11" spans="1:11" ht="25.8" x14ac:dyDescent="0.5">
      <c r="B11" s="9">
        <f>COUNTA(Table1[Product])</f>
        <v>10</v>
      </c>
    </row>
    <row r="13" spans="1:11" ht="25.8" x14ac:dyDescent="0.5">
      <c r="B13" s="8" t="s">
        <v>41</v>
      </c>
    </row>
    <row r="14" spans="1:11" ht="25.8" x14ac:dyDescent="0.5">
      <c r="B14" s="9">
        <f>COUNTA(_xlfn.UNIQUE(Table1[Region]))</f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Sales_Data</vt:lpstr>
      <vt:lpstr>RegionWise_Sales</vt:lpstr>
      <vt:lpstr>ProductWise_Sales</vt:lpstr>
      <vt:lpstr>CategoryWise_Sales</vt:lpstr>
      <vt:lpstr>Sum_Total_Sales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ajaysharma0859</dc:creator>
  <cp:lastModifiedBy>Ajay Sharma</cp:lastModifiedBy>
  <dcterms:created xsi:type="dcterms:W3CDTF">2015-06-05T18:17:20Z</dcterms:created>
  <dcterms:modified xsi:type="dcterms:W3CDTF">2026-08-01T12:22:21Z</dcterms:modified>
</cp:coreProperties>
</file>